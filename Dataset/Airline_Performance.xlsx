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9c34d899322710/Desktop/Airline_Performance_Analysis_Project/Dataset/"/>
    </mc:Choice>
  </mc:AlternateContent>
  <xr:revisionPtr revIDLastSave="0" documentId="8_{D73C6A41-9D51-47B7-A9DB-7F4827B42DA7}" xr6:coauthVersionLast="47" xr6:coauthVersionMax="47" xr10:uidLastSave="{00000000-0000-0000-0000-000000000000}"/>
  <bookViews>
    <workbookView xWindow="-108" yWindow="-108" windowWidth="23256" windowHeight="12456" xr2:uid="{3CDC0209-6550-4EB0-B3C7-EE3CDE2983AD}"/>
  </bookViews>
  <sheets>
    <sheet name="Airline_Data" sheetId="1" r:id="rId1"/>
    <sheet name="Data_Definition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F2" i="3"/>
  <c r="G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D2" i="3"/>
  <c r="D3" i="3"/>
  <c r="C3" i="3"/>
  <c r="B3" i="3"/>
  <c r="C2" i="3"/>
  <c r="B2" i="3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E2" i="3" l="1"/>
  <c r="E3" i="3"/>
</calcChain>
</file>

<file path=xl/sharedStrings.xml><?xml version="1.0" encoding="utf-8"?>
<sst xmlns="http://schemas.openxmlformats.org/spreadsheetml/2006/main" count="67" uniqueCount="38">
  <si>
    <t>Airline</t>
  </si>
  <si>
    <t>Year</t>
  </si>
  <si>
    <t>Revenue_USD_Million</t>
  </si>
  <si>
    <t>Profit_USD_Million</t>
  </si>
  <si>
    <t>Load_Factor_Percent</t>
  </si>
  <si>
    <t>Fleet_Size</t>
  </si>
  <si>
    <t>Revenue_Index</t>
  </si>
  <si>
    <t>Emirates</t>
  </si>
  <si>
    <t>IndiGo</t>
  </si>
  <si>
    <t>Profit_Margin_Percent</t>
  </si>
  <si>
    <t>Revenue_per_Aircraft_USD_Million</t>
  </si>
  <si>
    <t>Revenue_Growth_Percent</t>
  </si>
  <si>
    <t>Profit_per_Aircraft_USD_Million</t>
  </si>
  <si>
    <t>Column_Name</t>
  </si>
  <si>
    <t>Description</t>
  </si>
  <si>
    <t>Name of the airline company</t>
  </si>
  <si>
    <t>Financial or reporting year</t>
  </si>
  <si>
    <t>Total airline revenue in USD millions</t>
  </si>
  <si>
    <t>Net profit in USD millions</t>
  </si>
  <si>
    <t>Percentage of seats filled by passengers</t>
  </si>
  <si>
    <t>Avg_Revenue_USD_Million</t>
  </si>
  <si>
    <t>Avg_Profit_USD_Million</t>
  </si>
  <si>
    <t>Avg_Revenue_per_Aircraft</t>
  </si>
  <si>
    <t>Avg_Load_Factor_Percent</t>
  </si>
  <si>
    <t>Passengers_Million</t>
  </si>
  <si>
    <t>Revenue_per_Passenger_USD</t>
  </si>
  <si>
    <t>Profit_per_Passenger_USD</t>
  </si>
  <si>
    <t>Total number of aircraft operated by the airline</t>
  </si>
  <si>
    <t>Revenue performance index relative to the base year (2019 = 100)</t>
  </si>
  <si>
    <t>Net profit expressed as a percentage of revenue</t>
  </si>
  <si>
    <t>Revenue generated per aircraft in USD millions</t>
  </si>
  <si>
    <t>Year-over-year percentage growth in revenue</t>
  </si>
  <si>
    <t>Profit generated per aircraft in USD millions</t>
  </si>
  <si>
    <t>Total passengers carried by the airline in millions</t>
  </si>
  <si>
    <t>Average revenue generated per passenger in USD</t>
  </si>
  <si>
    <t>Average profit generated per passenger in USD</t>
  </si>
  <si>
    <t>Avg_Passengers_Million</t>
  </si>
  <si>
    <t>Avg_Revenue_per_Passenger_USD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</si>
</sst>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21"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69205-2141-47B9-BCAE-EFAD34B32D28}" name="Airline_Performance" displayName="Airline_Performance" ref="A1:N15" totalsRowShown="0" dataDxfId="6">
  <autoFilter ref="A1:N15" xr:uid="{22C69205-2141-47B9-BCAE-EFAD34B32D28}"/>
  <sortState xmlns:xlrd2="http://schemas.microsoft.com/office/spreadsheetml/2017/richdata2" ref="A2:K15">
    <sortCondition ref="A2:A15"/>
    <sortCondition ref="B2:B15"/>
  </sortState>
  <tableColumns count="14">
    <tableColumn id="1" xr3:uid="{C31C0D9D-C349-4C0A-A194-014BC620EE67}" name="Airline" dataDxfId="20"/>
    <tableColumn id="2" xr3:uid="{7C8EF57D-4117-4E8C-804E-F9F2E47D298A}" name="Year" dataDxfId="19"/>
    <tableColumn id="3" xr3:uid="{BB903A3E-B2F4-48F2-B253-8473E3FBE3A1}" name="Revenue_USD_Million" dataDxfId="18"/>
    <tableColumn id="4" xr3:uid="{B01EE51B-E130-4A50-8161-A7F9238BC9E9}" name="Profit_USD_Million" dataDxfId="17"/>
    <tableColumn id="5" xr3:uid="{A0896246-CED4-4A34-A3E3-0A80ADB87F63}" name="Load_Factor_Percent" dataDxfId="16"/>
    <tableColumn id="6" xr3:uid="{45ACC5B5-09F0-4E6B-89DF-AC8F22E257F4}" name="Fleet_Size" dataDxfId="15"/>
    <tableColumn id="7" xr3:uid="{C7548CBC-61C6-48B4-89F0-386DFD61BA85}" name="Revenue_Index" dataDxfId="14"/>
    <tableColumn id="8" xr3:uid="{AE28B3F2-EA8C-48FC-966D-31F7E3AA5D40}" name="Profit_Margin_Percent" dataDxfId="13">
      <calculatedColumnFormula>Airline_Performance[[#This Row],[Profit_USD_Million]]/Airline_Performance[[#This Row],[Revenue_USD_Million]]*100</calculatedColumnFormula>
    </tableColumn>
    <tableColumn id="9" xr3:uid="{5A0BE422-900E-4902-A297-116CB09739F5}" name="Revenue_per_Aircraft_USD_Million" dataDxfId="12">
      <calculatedColumnFormula>Airline_Performance[[#This Row],[Revenue_USD_Million]]/Airline_Performance[[#This Row],[Fleet_Size]]</calculatedColumnFormula>
    </tableColumn>
    <tableColumn id="10" xr3:uid="{73C86B1C-C887-4BB8-AE53-6883D5609444}" name="Revenue_Growth_Percent" dataDxfId="11">
      <calculatedColumnFormula>IF(A2=A1,(C2/C1-1)*100,"")</calculatedColumnFormula>
    </tableColumn>
    <tableColumn id="11" xr3:uid="{96E4B2CF-3D26-4F2E-8CAA-0183586D87ED}" name="Profit_per_Aircraft_USD_Million" dataDxfId="10">
      <calculatedColumnFormula>Airline_Performance[[#This Row],[Profit_USD_Million]]/Airline_Performance[[#This Row],[Fleet_Size]]</calculatedColumnFormula>
    </tableColumn>
    <tableColumn id="12" xr3:uid="{9A28AC99-A639-4182-A2E9-FE89050AD0FE}" name="Passengers_Million" dataDxfId="9"/>
    <tableColumn id="13" xr3:uid="{1E146069-6857-4D49-81AF-211AD15809A7}" name="Revenue_per_Passenger_USD" dataDxfId="8">
      <calculatedColumnFormula>Airline_Performance[[#This Row],[Revenue_USD_Million]]/Airline_Performance[[#This Row],[Passengers_Million]]</calculatedColumnFormula>
    </tableColumn>
    <tableColumn id="14" xr3:uid="{81EACF1C-C776-40BF-BB83-57449996AB7D}" name="Profit_per_Passenger_USD" dataDxfId="7">
      <calculatedColumnFormula>Airline_Performance[[#This Row],[Profit_USD_Million]]/Airline_Performance[[#This Row],[Passengers_Million]]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A287D0-CDA0-47DD-8C2B-93B2C9392CAD}" name="Table4" displayName="Table4" ref="A1:B15" totalsRowShown="0">
  <autoFilter ref="A1:B15" xr:uid="{58A287D0-CDA0-47DD-8C2B-93B2C9392CAD}"/>
  <tableColumns count="2">
    <tableColumn id="1" xr3:uid="{9EF0C7EB-5B2A-4426-AFF2-5D75DDB52F4D}" name="Column_Name"/>
    <tableColumn id="2" xr3:uid="{D34D7CAD-C14D-4865-8BA7-7CB140FBDA39}" name="Description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C9D54C-B1EB-4D3B-B59E-657940CE4907}" name="Average_Metrics" displayName="Average_Metrics" ref="A1:G3" totalsRowShown="0">
  <autoFilter ref="A1:G3" xr:uid="{B8C9D54C-B1EB-4D3B-B59E-657940CE4907}"/>
  <tableColumns count="7">
    <tableColumn id="1" xr3:uid="{ED89AC13-65EA-4FD8-8028-85F5C97CDB1E}" name="Airline"/>
    <tableColumn id="2" xr3:uid="{4A9A21B5-04D8-4287-BBC6-A1ADD0C941D8}" name="Avg_Revenue_USD_Million" dataDxfId="5">
      <calculatedColumnFormula>AVERAGEIF(Airline_Performance[Airline],"IndiGo",Airline_Performance[Revenue_USD_Million])</calculatedColumnFormula>
    </tableColumn>
    <tableColumn id="3" xr3:uid="{4F3CE5B2-A153-4A04-A75C-816873670550}" name="Avg_Profit_USD_Million" dataDxfId="4">
      <calculatedColumnFormula>AVERAGEIF(Airline_Performance[Airline],"IndiGo",Airline_Performance[Profit_USD_Million])</calculatedColumnFormula>
    </tableColumn>
    <tableColumn id="4" xr3:uid="{80C9AFF0-D5F6-4F40-8068-EC552DA272F8}" name="Avg_Load_Factor_Percent" dataDxfId="3" dataCellStyle="Percent">
      <calculatedColumnFormula>AVERAGEIF(Airline_Performance[Airline],"IndiGo",Airline_Performance[Load_Factor_Percent])</calculatedColumnFormula>
    </tableColumn>
    <tableColumn id="5" xr3:uid="{99413857-E2CE-45A7-970C-F7076F2B567B}" name="Avg_Revenue_per_Aircraft" dataDxfId="2">
      <calculatedColumnFormula>AVERAGEIF(Airline_Performance[Airline],"IndiGo",Airline_Performance[Revenue_per_Aircraft_USD_Million])</calculatedColumnFormula>
    </tableColumn>
    <tableColumn id="6" xr3:uid="{4BE7D27D-1348-45FB-B2EE-BB52ABBBBD51}" name="Avg_Passengers_Million" dataDxfId="1">
      <calculatedColumnFormula>AVERAGEIF(Airline_Performance[Airline],"Emirates",Airline_Performance[Passengers_Million])</calculatedColumnFormula>
    </tableColumn>
    <tableColumn id="7" xr3:uid="{1AB9D6C9-FA1C-4B47-9A70-7952A039B4FB}" name="Avg_Revenue_per_Passenger_USD" dataDxfId="0">
      <calculatedColumnFormula>AVERAGEIF(Airline_Performance[Airline],"Emirates",Airline_Performance[Revenue_per_Passenger_USD])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9B0A-70F1-4A99-8510-658FEE78B1F3}">
  <dimension ref="A1:N15"/>
  <sheetViews>
    <sheetView tabSelected="1" workbookViewId="0">
      <selection activeCell="I23" sqref="I23"/>
    </sheetView>
  </sheetViews>
  <sheetFormatPr defaultRowHeight="14.4" x14ac:dyDescent="0.3"/>
  <cols>
    <col min="3" max="3" width="21.5546875" customWidth="1"/>
    <col min="4" max="4" width="18.88671875" customWidth="1"/>
    <col min="5" max="5" width="20.6640625" customWidth="1"/>
    <col min="6" max="6" width="13.5546875" bestFit="1" customWidth="1"/>
    <col min="7" max="7" width="16.33203125" bestFit="1" customWidth="1"/>
    <col min="8" max="8" width="18.109375" customWidth="1"/>
    <col min="9" max="9" width="28.109375" customWidth="1"/>
    <col min="10" max="10" width="25.5546875" bestFit="1" customWidth="1"/>
    <col min="11" max="11" width="30.6640625" bestFit="1" customWidth="1"/>
    <col min="12" max="12" width="19.44140625" bestFit="1" customWidth="1"/>
    <col min="13" max="13" width="28.77734375" bestFit="1" customWidth="1"/>
    <col min="14" max="14" width="2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24</v>
      </c>
      <c r="M1" t="s">
        <v>25</v>
      </c>
      <c r="N1" t="s">
        <v>26</v>
      </c>
    </row>
    <row r="2" spans="1:14" x14ac:dyDescent="0.3">
      <c r="A2" s="1" t="s">
        <v>7</v>
      </c>
      <c r="B2" s="1">
        <v>2019</v>
      </c>
      <c r="C2" s="1">
        <v>26434.89</v>
      </c>
      <c r="D2" s="1">
        <v>293.49</v>
      </c>
      <c r="E2" s="1">
        <v>76.8</v>
      </c>
      <c r="F2" s="1">
        <v>270</v>
      </c>
      <c r="G2" s="1">
        <v>100</v>
      </c>
      <c r="H2" s="1">
        <f>Airline_Performance[[#This Row],[Profit_USD_Million]]/Airline_Performance[[#This Row],[Revenue_USD_Million]]*100</f>
        <v>1.1102372659768964</v>
      </c>
      <c r="I2" s="1">
        <f>Airline_Performance[[#This Row],[Revenue_USD_Million]]/Airline_Performance[[#This Row],[Fleet_Size]]</f>
        <v>97.906999999999996</v>
      </c>
      <c r="J2" s="1" t="str">
        <f>IF(A2=A1,(C2/C1-1)*100,"")</f>
        <v/>
      </c>
      <c r="K2" s="1">
        <f>Airline_Performance[[#This Row],[Profit_USD_Million]]/Airline_Performance[[#This Row],[Fleet_Size]]</f>
        <v>1.087</v>
      </c>
      <c r="L2" s="1">
        <v>58.600999999999999</v>
      </c>
      <c r="M2" s="1">
        <f>Airline_Performance[[#This Row],[Revenue_USD_Million]]/Airline_Performance[[#This Row],[Passengers_Million]]</f>
        <v>451.099639937885</v>
      </c>
      <c r="N2" s="1">
        <f>Airline_Performance[[#This Row],[Profit_USD_Million]]/Airline_Performance[[#This Row],[Passengers_Million]]</f>
        <v>5.0082763092779992</v>
      </c>
    </row>
    <row r="3" spans="1:14" x14ac:dyDescent="0.3">
      <c r="A3" s="1" t="s">
        <v>7</v>
      </c>
      <c r="B3" s="1">
        <v>2020</v>
      </c>
      <c r="C3" s="1">
        <v>24832.44</v>
      </c>
      <c r="D3" s="1">
        <v>338.58</v>
      </c>
      <c r="E3" s="1">
        <v>78.5</v>
      </c>
      <c r="F3" s="1">
        <v>270</v>
      </c>
      <c r="G3" s="1">
        <v>93.938124999999999</v>
      </c>
      <c r="H3" s="1">
        <f>Airline_Performance[[#This Row],[Profit_USD_Million]]/Airline_Performance[[#This Row],[Revenue_USD_Million]]*100</f>
        <v>1.3634584438742225</v>
      </c>
      <c r="I3" s="1">
        <f>Airline_Performance[[#This Row],[Revenue_USD_Million]]/Airline_Performance[[#This Row],[Fleet_Size]]</f>
        <v>91.971999999999994</v>
      </c>
      <c r="J3" s="1">
        <f>IF(A3=A2,(C3/C2-1)*100,"")</f>
        <v>-6.0618750446852605</v>
      </c>
      <c r="K3" s="1">
        <f>Airline_Performance[[#This Row],[Profit_USD_Million]]/Airline_Performance[[#This Row],[Fleet_Size]]</f>
        <v>1.254</v>
      </c>
      <c r="L3" s="1">
        <v>56.161999999999999</v>
      </c>
      <c r="M3" s="1">
        <f>Airline_Performance[[#This Row],[Revenue_USD_Million]]/Airline_Performance[[#This Row],[Passengers_Million]]</f>
        <v>442.15733057939531</v>
      </c>
      <c r="N3" s="1">
        <f>Airline_Performance[[#This Row],[Profit_USD_Million]]/Airline_Performance[[#This Row],[Passengers_Million]]</f>
        <v>6.0286314589936252</v>
      </c>
    </row>
    <row r="4" spans="1:14" x14ac:dyDescent="0.3">
      <c r="A4" s="1" t="s">
        <v>7</v>
      </c>
      <c r="B4" s="1">
        <v>2021</v>
      </c>
      <c r="C4" s="1">
        <v>8350.2900000000009</v>
      </c>
      <c r="D4" s="1">
        <v>-5481</v>
      </c>
      <c r="E4" s="1">
        <v>44.3</v>
      </c>
      <c r="F4" s="1">
        <v>259</v>
      </c>
      <c r="G4" s="1">
        <v>31.588139999999999</v>
      </c>
      <c r="H4" s="1">
        <f>Airline_Performance[[#This Row],[Profit_USD_Million]]/Airline_Performance[[#This Row],[Revenue_USD_Million]]*100</f>
        <v>-65.638438904517088</v>
      </c>
      <c r="I4" s="1">
        <f>Airline_Performance[[#This Row],[Revenue_USD_Million]]/Airline_Performance[[#This Row],[Fleet_Size]]</f>
        <v>32.240501930501935</v>
      </c>
      <c r="J4" s="1">
        <f>IF(A4=A3,(C4/C3-1)*100,"")</f>
        <v>-66.373461488279034</v>
      </c>
      <c r="K4" s="1">
        <f>Airline_Performance[[#This Row],[Profit_USD_Million]]/Airline_Performance[[#This Row],[Fleet_Size]]</f>
        <v>-21.162162162162161</v>
      </c>
      <c r="L4" s="1">
        <v>6.5529999999999999</v>
      </c>
      <c r="M4" s="1">
        <f>Airline_Performance[[#This Row],[Revenue_USD_Million]]/Airline_Performance[[#This Row],[Passengers_Million]]</f>
        <v>1274.2698000915614</v>
      </c>
      <c r="N4" s="1">
        <f>Airline_Performance[[#This Row],[Profit_USD_Million]]/Airline_Performance[[#This Row],[Passengers_Million]]</f>
        <v>-836.41080421181141</v>
      </c>
    </row>
    <row r="5" spans="1:14" x14ac:dyDescent="0.3">
      <c r="A5" s="1" t="s">
        <v>7</v>
      </c>
      <c r="B5" s="1">
        <v>2022</v>
      </c>
      <c r="C5" s="1">
        <v>15978.6</v>
      </c>
      <c r="D5" s="1">
        <v>-1026.81</v>
      </c>
      <c r="E5" s="1">
        <v>58.6</v>
      </c>
      <c r="F5" s="1">
        <v>262</v>
      </c>
      <c r="G5" s="1">
        <v>60.445115999999999</v>
      </c>
      <c r="H5" s="1">
        <f>Airline_Performance[[#This Row],[Profit_USD_Million]]/Airline_Performance[[#This Row],[Revenue_USD_Million]]*100</f>
        <v>-6.4261574856370389</v>
      </c>
      <c r="I5" s="1">
        <f>Airline_Performance[[#This Row],[Revenue_USD_Million]]/Airline_Performance[[#This Row],[Fleet_Size]]</f>
        <v>60.987022900763357</v>
      </c>
      <c r="J5" s="1">
        <f>IF(A5=A4,(C5/C4-1)*100,"")</f>
        <v>91.353833220163594</v>
      </c>
      <c r="K5" s="1">
        <f>Airline_Performance[[#This Row],[Profit_USD_Million]]/Airline_Performance[[#This Row],[Fleet_Size]]</f>
        <v>-3.9191221374045799</v>
      </c>
      <c r="L5" s="1">
        <v>19.562000000000001</v>
      </c>
      <c r="M5" s="1">
        <f>Airline_Performance[[#This Row],[Revenue_USD_Million]]/Airline_Performance[[#This Row],[Passengers_Million]]</f>
        <v>816.81832123504751</v>
      </c>
      <c r="N5" s="1">
        <f>Airline_Performance[[#This Row],[Profit_USD_Million]]/Airline_Performance[[#This Row],[Passengers_Million]]</f>
        <v>-52.4900316941008</v>
      </c>
    </row>
    <row r="6" spans="1:14" x14ac:dyDescent="0.3">
      <c r="A6" s="1" t="s">
        <v>7</v>
      </c>
      <c r="B6" s="1">
        <v>2023</v>
      </c>
      <c r="C6" s="1">
        <v>28986.12</v>
      </c>
      <c r="D6" s="1">
        <v>2934.9</v>
      </c>
      <c r="E6" s="1">
        <v>79.5</v>
      </c>
      <c r="F6" s="1">
        <v>260</v>
      </c>
      <c r="G6" s="1">
        <v>109.65099499999999</v>
      </c>
      <c r="H6" s="1">
        <f>Airline_Performance[[#This Row],[Profit_USD_Million]]/Airline_Performance[[#This Row],[Revenue_USD_Million]]*100</f>
        <v>10.125190953463244</v>
      </c>
      <c r="I6" s="1">
        <f>Airline_Performance[[#This Row],[Revenue_USD_Million]]/Airline_Performance[[#This Row],[Fleet_Size]]</f>
        <v>111.48507692307692</v>
      </c>
      <c r="J6" s="1">
        <f>IF(A6=A5,(C6/C5-1)*100,"")</f>
        <v>81.405880364988164</v>
      </c>
      <c r="K6" s="1">
        <f>Airline_Performance[[#This Row],[Profit_USD_Million]]/Airline_Performance[[#This Row],[Fleet_Size]]</f>
        <v>11.288076923076924</v>
      </c>
      <c r="L6" s="1">
        <v>43.625999999999998</v>
      </c>
      <c r="M6" s="1">
        <f>Airline_Performance[[#This Row],[Revenue_USD_Million]]/Airline_Performance[[#This Row],[Passengers_Million]]</f>
        <v>664.4230504744877</v>
      </c>
      <c r="N6" s="1">
        <f>Airline_Performance[[#This Row],[Profit_USD_Million]]/Airline_Performance[[#This Row],[Passengers_Million]]</f>
        <v>67.274102599367353</v>
      </c>
    </row>
    <row r="7" spans="1:14" x14ac:dyDescent="0.3">
      <c r="A7" s="1" t="s">
        <v>7</v>
      </c>
      <c r="B7" s="1">
        <v>2024</v>
      </c>
      <c r="C7" s="1">
        <v>32729.67</v>
      </c>
      <c r="D7" s="1">
        <v>4766.58</v>
      </c>
      <c r="E7" s="1">
        <v>79.900000000000006</v>
      </c>
      <c r="F7" s="1">
        <v>260</v>
      </c>
      <c r="G7" s="1">
        <v>123.812393</v>
      </c>
      <c r="H7" s="1">
        <f>Airline_Performance[[#This Row],[Profit_USD_Million]]/Airline_Performance[[#This Row],[Revenue_USD_Million]]*100</f>
        <v>14.56348322485378</v>
      </c>
      <c r="I7" s="1">
        <f>Airline_Performance[[#This Row],[Revenue_USD_Million]]/Airline_Performance[[#This Row],[Fleet_Size]]</f>
        <v>125.88334615384615</v>
      </c>
      <c r="J7" s="1">
        <f>IF(A7=A6,(C7/C6-1)*100,"")</f>
        <v>12.914974477439545</v>
      </c>
      <c r="K7" s="1">
        <f>Airline_Performance[[#This Row],[Profit_USD_Million]]/Airline_Performance[[#This Row],[Fleet_Size]]</f>
        <v>18.332999999999998</v>
      </c>
      <c r="L7" s="1">
        <v>51.923999999999999</v>
      </c>
      <c r="M7" s="1">
        <f>Airline_Performance[[#This Row],[Revenue_USD_Million]]/Airline_Performance[[#This Row],[Passengers_Million]]</f>
        <v>630.3379939912179</v>
      </c>
      <c r="N7" s="1">
        <f>Airline_Performance[[#This Row],[Profit_USD_Million]]/Airline_Performance[[#This Row],[Passengers_Million]]</f>
        <v>91.799168014790851</v>
      </c>
    </row>
    <row r="8" spans="1:14" x14ac:dyDescent="0.3">
      <c r="A8" s="1" t="s">
        <v>7</v>
      </c>
      <c r="B8" s="1">
        <v>2025</v>
      </c>
      <c r="C8" s="1">
        <v>34542.720000000001</v>
      </c>
      <c r="D8" s="1">
        <v>5716.44</v>
      </c>
      <c r="E8" s="1">
        <v>78.900000000000006</v>
      </c>
      <c r="F8" s="1">
        <v>260</v>
      </c>
      <c r="G8" s="1">
        <v>130.67094299999999</v>
      </c>
      <c r="H8" s="1">
        <f>Airline_Performance[[#This Row],[Profit_USD_Million]]/Airline_Performance[[#This Row],[Revenue_USD_Million]]*100</f>
        <v>16.54889944972486</v>
      </c>
      <c r="I8" s="1">
        <f>Airline_Performance[[#This Row],[Revenue_USD_Million]]/Airline_Performance[[#This Row],[Fleet_Size]]</f>
        <v>132.8566153846154</v>
      </c>
      <c r="J8" s="1">
        <f>IF(A8=A7,(C8/C7-1)*100,"")</f>
        <v>5.5394692338786244</v>
      </c>
      <c r="K8" s="1">
        <f>Airline_Performance[[#This Row],[Profit_USD_Million]]/Airline_Performance[[#This Row],[Fleet_Size]]</f>
        <v>21.98630769230769</v>
      </c>
      <c r="L8" s="1">
        <v>53.68</v>
      </c>
      <c r="M8" s="1">
        <f>Airline_Performance[[#This Row],[Revenue_USD_Million]]/Airline_Performance[[#This Row],[Passengers_Million]]</f>
        <v>643.49329359165426</v>
      </c>
      <c r="N8" s="1">
        <f>Airline_Performance[[#This Row],[Profit_USD_Million]]/Airline_Performance[[#This Row],[Passengers_Million]]</f>
        <v>106.49105812220566</v>
      </c>
    </row>
    <row r="9" spans="1:14" x14ac:dyDescent="0.3">
      <c r="A9" s="1" t="s">
        <v>8</v>
      </c>
      <c r="B9" s="1">
        <v>2019</v>
      </c>
      <c r="C9" s="1">
        <v>3433.3493979999998</v>
      </c>
      <c r="D9" s="1">
        <v>18.939758999999999</v>
      </c>
      <c r="E9" s="1">
        <v>86.2</v>
      </c>
      <c r="F9" s="1">
        <v>217</v>
      </c>
      <c r="G9" s="1">
        <v>100</v>
      </c>
      <c r="H9" s="1">
        <f>Airline_Performance[[#This Row],[Profit_USD_Million]]/Airline_Performance[[#This Row],[Revenue_USD_Million]]*100</f>
        <v>0.55164088487564999</v>
      </c>
      <c r="I9" s="1">
        <f>Airline_Performance[[#This Row],[Revenue_USD_Million]]/Airline_Performance[[#This Row],[Fleet_Size]]</f>
        <v>15.82188662672811</v>
      </c>
      <c r="J9" s="1" t="str">
        <f>IF(A9=A8,(C9/C8-1)*100,"")</f>
        <v/>
      </c>
      <c r="K9" s="1">
        <f>Airline_Performance[[#This Row],[Profit_USD_Million]]/Airline_Performance[[#This Row],[Fleet_Size]]</f>
        <v>8.7279995391705056E-2</v>
      </c>
      <c r="L9" s="1">
        <v>65.3</v>
      </c>
      <c r="M9" s="1">
        <f>Airline_Performance[[#This Row],[Revenue_USD_Million]]/Airline_Performance[[#This Row],[Passengers_Million]]</f>
        <v>52.578091852986219</v>
      </c>
      <c r="N9" s="1">
        <f>Airline_Performance[[#This Row],[Profit_USD_Million]]/Airline_Performance[[#This Row],[Passengers_Million]]</f>
        <v>0.29004225114854515</v>
      </c>
    </row>
    <row r="10" spans="1:14" x14ac:dyDescent="0.3">
      <c r="A10" s="1" t="s">
        <v>8</v>
      </c>
      <c r="B10" s="1">
        <v>2020</v>
      </c>
      <c r="C10" s="1">
        <v>4307.9518070000004</v>
      </c>
      <c r="D10" s="1">
        <v>-28.156627</v>
      </c>
      <c r="E10" s="1">
        <v>85.8</v>
      </c>
      <c r="F10" s="1">
        <v>262</v>
      </c>
      <c r="G10" s="1">
        <v>125.473737</v>
      </c>
      <c r="H10" s="1">
        <f>Airline_Performance[[#This Row],[Profit_USD_Million]]/Airline_Performance[[#This Row],[Revenue_USD_Million]]*100</f>
        <v>-0.65359661067350461</v>
      </c>
      <c r="I10" s="1">
        <f>Airline_Performance[[#This Row],[Revenue_USD_Million]]/Airline_Performance[[#This Row],[Fleet_Size]]</f>
        <v>16.442564148854963</v>
      </c>
      <c r="J10" s="1">
        <f>IF(A10=A9,(C10/C9-1)*100,"")</f>
        <v>25.473737380456395</v>
      </c>
      <c r="K10" s="1">
        <f>Airline_Performance[[#This Row],[Profit_USD_Million]]/Airline_Performance[[#This Row],[Fleet_Size]]</f>
        <v>-0.10746804198473282</v>
      </c>
      <c r="L10" s="1">
        <v>63.3</v>
      </c>
      <c r="M10" s="1">
        <f>Airline_Performance[[#This Row],[Revenue_USD_Million]]/Airline_Performance[[#This Row],[Passengers_Million]]</f>
        <v>68.056110695102689</v>
      </c>
      <c r="N10" s="1">
        <f>Airline_Performance[[#This Row],[Profit_USD_Million]]/Airline_Performance[[#This Row],[Passengers_Million]]</f>
        <v>-0.4448124328593997</v>
      </c>
    </row>
    <row r="11" spans="1:14" x14ac:dyDescent="0.3">
      <c r="A11" s="1" t="s">
        <v>8</v>
      </c>
      <c r="B11" s="1">
        <v>2021</v>
      </c>
      <c r="C11" s="1">
        <v>1763.927711</v>
      </c>
      <c r="D11" s="1">
        <v>-699.56626500000004</v>
      </c>
      <c r="E11" s="1">
        <v>69.400000000000006</v>
      </c>
      <c r="F11" s="1">
        <v>285</v>
      </c>
      <c r="G11" s="1">
        <v>51.376294999999999</v>
      </c>
      <c r="H11" s="1">
        <f>Airline_Performance[[#This Row],[Profit_USD_Million]]/Airline_Performance[[#This Row],[Revenue_USD_Million]]*100</f>
        <v>-39.65957678636412</v>
      </c>
      <c r="I11" s="1">
        <f>Airline_Performance[[#This Row],[Revenue_USD_Million]]/Airline_Performance[[#This Row],[Fleet_Size]]</f>
        <v>6.1892200385964911</v>
      </c>
      <c r="J11" s="1">
        <f>IF(A11=A10,(C11/C10-1)*100,"")</f>
        <v>-59.054144753110052</v>
      </c>
      <c r="K11" s="1">
        <f>Airline_Performance[[#This Row],[Profit_USD_Million]]/Airline_Performance[[#This Row],[Fleet_Size]]</f>
        <v>-2.4546184736842105</v>
      </c>
      <c r="L11" s="1">
        <v>31.7</v>
      </c>
      <c r="M11" s="1">
        <f>Airline_Performance[[#This Row],[Revenue_USD_Million]]/Airline_Performance[[#This Row],[Passengers_Million]]</f>
        <v>55.644407287066251</v>
      </c>
      <c r="N11" s="1">
        <f>Airline_Performance[[#This Row],[Profit_USD_Million]]/Airline_Performance[[#This Row],[Passengers_Million]]</f>
        <v>-22.068336435331233</v>
      </c>
    </row>
    <row r="12" spans="1:14" x14ac:dyDescent="0.3">
      <c r="A12" s="1" t="s">
        <v>8</v>
      </c>
      <c r="B12" s="1">
        <v>2022</v>
      </c>
      <c r="C12" s="1">
        <v>3124.204819</v>
      </c>
      <c r="D12" s="1">
        <v>-742.38554199999999</v>
      </c>
      <c r="E12" s="1">
        <v>73.599999999999994</v>
      </c>
      <c r="F12" s="1">
        <v>275</v>
      </c>
      <c r="G12" s="1">
        <v>90.995830999999995</v>
      </c>
      <c r="H12" s="1">
        <f>Airline_Performance[[#This Row],[Profit_USD_Million]]/Airline_Performance[[#This Row],[Revenue_USD_Million]]*100</f>
        <v>-23.762383870773998</v>
      </c>
      <c r="I12" s="1">
        <f>Airline_Performance[[#This Row],[Revenue_USD_Million]]/Airline_Performance[[#This Row],[Fleet_Size]]</f>
        <v>11.360744796363637</v>
      </c>
      <c r="J12" s="1">
        <f>IF(A12=A11,(C12/C11-1)*100,"")</f>
        <v>77.116374980516426</v>
      </c>
      <c r="K12" s="1">
        <f>Airline_Performance[[#This Row],[Profit_USD_Million]]/Airline_Performance[[#This Row],[Fleet_Size]]</f>
        <v>-2.6995837890909091</v>
      </c>
      <c r="L12" s="1">
        <v>55.5</v>
      </c>
      <c r="M12" s="1">
        <f>Airline_Performance[[#This Row],[Revenue_USD_Million]]/Airline_Performance[[#This Row],[Passengers_Million]]</f>
        <v>56.291978720720721</v>
      </c>
      <c r="N12" s="1">
        <f>Airline_Performance[[#This Row],[Profit_USD_Million]]/Airline_Performance[[#This Row],[Passengers_Million]]</f>
        <v>-13.376316072072072</v>
      </c>
    </row>
    <row r="13" spans="1:14" x14ac:dyDescent="0.3">
      <c r="A13" s="1" t="s">
        <v>8</v>
      </c>
      <c r="B13" s="1">
        <v>2023</v>
      </c>
      <c r="C13" s="1">
        <v>6559.8192769999996</v>
      </c>
      <c r="D13" s="1">
        <v>-36.843373</v>
      </c>
      <c r="E13" s="1">
        <v>82.1</v>
      </c>
      <c r="F13" s="1">
        <v>304</v>
      </c>
      <c r="G13" s="1">
        <v>191.061803</v>
      </c>
      <c r="H13" s="1">
        <f>Airline_Performance[[#This Row],[Profit_USD_Million]]/Airline_Performance[[#This Row],[Revenue_USD_Million]]*100</f>
        <v>-0.56165225662816687</v>
      </c>
      <c r="I13" s="1">
        <f>Airline_Performance[[#This Row],[Revenue_USD_Million]]/Airline_Performance[[#This Row],[Fleet_Size]]</f>
        <v>21.578352884868419</v>
      </c>
      <c r="J13" s="1">
        <f>IF(A13=A12,(C13/C12-1)*100,"")</f>
        <v>109.96764479416159</v>
      </c>
      <c r="K13" s="1">
        <f>Airline_Performance[[#This Row],[Profit_USD_Million]]/Airline_Performance[[#This Row],[Fleet_Size]]</f>
        <v>-0.12119530592105263</v>
      </c>
      <c r="L13" s="1">
        <v>85</v>
      </c>
      <c r="M13" s="1">
        <f>Airline_Performance[[#This Row],[Revenue_USD_Million]]/Airline_Performance[[#This Row],[Passengers_Million]]</f>
        <v>77.174344435294117</v>
      </c>
      <c r="N13" s="1">
        <f>Airline_Performance[[#This Row],[Profit_USD_Million]]/Airline_Performance[[#This Row],[Passengers_Million]]</f>
        <v>-0.43345144705882355</v>
      </c>
    </row>
    <row r="14" spans="1:14" x14ac:dyDescent="0.3">
      <c r="A14" s="1" t="s">
        <v>8</v>
      </c>
      <c r="B14" s="1">
        <v>2024</v>
      </c>
      <c r="C14" s="1">
        <v>8301.7228919999998</v>
      </c>
      <c r="D14" s="1">
        <v>984.638554</v>
      </c>
      <c r="E14" s="1">
        <v>85.9</v>
      </c>
      <c r="F14" s="1">
        <v>367</v>
      </c>
      <c r="G14" s="1">
        <v>241.79662300000001</v>
      </c>
      <c r="H14" s="1">
        <f>Airline_Performance[[#This Row],[Profit_USD_Million]]/Airline_Performance[[#This Row],[Revenue_USD_Million]]*100</f>
        <v>11.860653105499971</v>
      </c>
      <c r="I14" s="1">
        <f>Airline_Performance[[#This Row],[Revenue_USD_Million]]/Airline_Performance[[#This Row],[Fleet_Size]]</f>
        <v>22.62049834332425</v>
      </c>
      <c r="J14" s="1">
        <f>IF(A14=A13,(C14/C13-1)*100,"")</f>
        <v>26.554140311570062</v>
      </c>
      <c r="K14" s="1">
        <f>Airline_Performance[[#This Row],[Profit_USD_Million]]/Airline_Performance[[#This Row],[Fleet_Size]]</f>
        <v>2.6829388392370572</v>
      </c>
      <c r="L14" s="1">
        <v>104.1</v>
      </c>
      <c r="M14" s="1">
        <f>Airline_Performance[[#This Row],[Revenue_USD_Million]]/Airline_Performance[[#This Row],[Passengers_Million]]</f>
        <v>79.747578213256489</v>
      </c>
      <c r="N14" s="1">
        <f>Airline_Performance[[#This Row],[Profit_USD_Million]]/Airline_Performance[[#This Row],[Passengers_Million]]</f>
        <v>9.4585836119116244</v>
      </c>
    </row>
    <row r="15" spans="1:14" x14ac:dyDescent="0.3">
      <c r="A15" s="1" t="s">
        <v>8</v>
      </c>
      <c r="B15" s="1">
        <v>2025</v>
      </c>
      <c r="C15" s="1">
        <v>9735.2891569999992</v>
      </c>
      <c r="D15" s="1">
        <v>874.50602400000002</v>
      </c>
      <c r="E15" s="1">
        <v>86</v>
      </c>
      <c r="F15" s="1">
        <v>434</v>
      </c>
      <c r="G15" s="1">
        <v>283.55078500000002</v>
      </c>
      <c r="H15" s="1">
        <f>Airline_Performance[[#This Row],[Profit_USD_Million]]/Airline_Performance[[#This Row],[Revenue_USD_Million]]*100</f>
        <v>8.9828459113738894</v>
      </c>
      <c r="I15" s="1">
        <f>Airline_Performance[[#This Row],[Revenue_USD_Million]]/Airline_Performance[[#This Row],[Fleet_Size]]</f>
        <v>22.431541836405529</v>
      </c>
      <c r="J15" s="1">
        <f>IF(A15=A14,(C15/C14-1)*100,"")</f>
        <v>17.268298203273737</v>
      </c>
      <c r="K15" s="1">
        <f>Airline_Performance[[#This Row],[Profit_USD_Million]]/Airline_Performance[[#This Row],[Fleet_Size]]</f>
        <v>2.0149908387096773</v>
      </c>
      <c r="L15" s="1">
        <v>113.6</v>
      </c>
      <c r="M15" s="1">
        <f>Airline_Performance[[#This Row],[Revenue_USD_Million]]/Airline_Performance[[#This Row],[Passengers_Million]]</f>
        <v>85.697967931338027</v>
      </c>
      <c r="N15" s="1">
        <f>Airline_Performance[[#This Row],[Profit_USD_Million]]/Airline_Performance[[#This Row],[Passengers_Million]]</f>
        <v>7.698116408450705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8186-4AB0-4BB7-865F-252EF3FEBB98}">
  <dimension ref="A1:B15"/>
  <sheetViews>
    <sheetView workbookViewId="0">
      <selection activeCell="D13" sqref="D13"/>
    </sheetView>
  </sheetViews>
  <sheetFormatPr defaultRowHeight="14.4" x14ac:dyDescent="0.3"/>
  <cols>
    <col min="1" max="1" width="30.33203125" bestFit="1" customWidth="1"/>
    <col min="2" max="2" width="55.55468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0</v>
      </c>
      <c r="B2" t="s">
        <v>15</v>
      </c>
    </row>
    <row r="3" spans="1:2" x14ac:dyDescent="0.3">
      <c r="A3" t="s">
        <v>1</v>
      </c>
      <c r="B3" t="s">
        <v>16</v>
      </c>
    </row>
    <row r="4" spans="1:2" x14ac:dyDescent="0.3">
      <c r="A4" t="s">
        <v>2</v>
      </c>
      <c r="B4" t="s">
        <v>17</v>
      </c>
    </row>
    <row r="5" spans="1:2" x14ac:dyDescent="0.3">
      <c r="A5" t="s">
        <v>3</v>
      </c>
      <c r="B5" t="s">
        <v>18</v>
      </c>
    </row>
    <row r="6" spans="1:2" x14ac:dyDescent="0.3">
      <c r="A6" t="s">
        <v>4</v>
      </c>
      <c r="B6" t="s">
        <v>19</v>
      </c>
    </row>
    <row r="7" spans="1:2" x14ac:dyDescent="0.3">
      <c r="A7" t="s">
        <v>5</v>
      </c>
      <c r="B7" t="s">
        <v>27</v>
      </c>
    </row>
    <row r="8" spans="1:2" x14ac:dyDescent="0.3">
      <c r="A8" t="s">
        <v>6</v>
      </c>
      <c r="B8" t="s">
        <v>28</v>
      </c>
    </row>
    <row r="9" spans="1:2" x14ac:dyDescent="0.3">
      <c r="A9" t="s">
        <v>9</v>
      </c>
      <c r="B9" t="s">
        <v>29</v>
      </c>
    </row>
    <row r="10" spans="1:2" x14ac:dyDescent="0.3">
      <c r="A10" t="s">
        <v>10</v>
      </c>
      <c r="B10" t="s">
        <v>30</v>
      </c>
    </row>
    <row r="11" spans="1:2" x14ac:dyDescent="0.3">
      <c r="A11" t="s">
        <v>11</v>
      </c>
      <c r="B11" t="s">
        <v>31</v>
      </c>
    </row>
    <row r="12" spans="1:2" x14ac:dyDescent="0.3">
      <c r="A12" t="s">
        <v>12</v>
      </c>
      <c r="B12" t="s">
        <v>32</v>
      </c>
    </row>
    <row r="13" spans="1:2" x14ac:dyDescent="0.3">
      <c r="A13" t="s">
        <v>24</v>
      </c>
      <c r="B13" t="s">
        <v>33</v>
      </c>
    </row>
    <row r="14" spans="1:2" x14ac:dyDescent="0.3">
      <c r="A14" t="s">
        <v>25</v>
      </c>
      <c r="B14" t="s">
        <v>34</v>
      </c>
    </row>
    <row r="15" spans="1:2" x14ac:dyDescent="0.3">
      <c r="A15" t="s">
        <v>26</v>
      </c>
      <c r="B15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D116-63CD-4521-996A-8C8BD665DB2F}">
  <dimension ref="A1:G3"/>
  <sheetViews>
    <sheetView workbookViewId="0">
      <selection activeCell="F10" sqref="F10"/>
    </sheetView>
  </sheetViews>
  <sheetFormatPr defaultRowHeight="14.4" x14ac:dyDescent="0.3"/>
  <cols>
    <col min="1" max="1" width="8.21875" customWidth="1"/>
    <col min="2" max="2" width="26.44140625" bestFit="1" customWidth="1"/>
    <col min="3" max="3" width="23.77734375" bestFit="1" customWidth="1"/>
    <col min="4" max="4" width="25.5546875" bestFit="1" customWidth="1"/>
    <col min="5" max="5" width="26.109375" bestFit="1" customWidth="1"/>
    <col min="6" max="6" width="23.77734375" bestFit="1" customWidth="1"/>
    <col min="7" max="7" width="33.109375" bestFit="1" customWidth="1"/>
  </cols>
  <sheetData>
    <row r="1" spans="1:7" x14ac:dyDescent="0.3">
      <c r="A1" t="s">
        <v>0</v>
      </c>
      <c r="B1" t="s">
        <v>20</v>
      </c>
      <c r="C1" t="s">
        <v>21</v>
      </c>
      <c r="D1" t="s">
        <v>23</v>
      </c>
      <c r="E1" t="s">
        <v>22</v>
      </c>
      <c r="F1" t="s">
        <v>36</v>
      </c>
      <c r="G1" t="s">
        <v>37</v>
      </c>
    </row>
    <row r="2" spans="1:7" x14ac:dyDescent="0.3">
      <c r="A2" t="s">
        <v>7</v>
      </c>
      <c r="B2" s="1">
        <f>AVERAGEIF(Airline_Performance[Airline],"Emirates",Airline_Performance[Revenue_USD_Million])</f>
        <v>24550.675714285717</v>
      </c>
      <c r="C2" s="1">
        <f>AVERAGEIF(Airline_Performance[Airline],"Emirates",Airline_Performance[Profit_USD_Million])</f>
        <v>1077.4542857142858</v>
      </c>
      <c r="D2" s="2">
        <f>AVERAGEIF(Airline_Performance[Airline],"Emirates",Airline_Performance[Load_Factor_Percent])</f>
        <v>70.928571428571431</v>
      </c>
      <c r="E2" s="1">
        <f>AVERAGEIF(Airline_Performance[Airline],"Emirates",Airline_Performance[Revenue_per_Aircraft_USD_Million])</f>
        <v>93.333080470400546</v>
      </c>
      <c r="F2" s="1">
        <f>AVERAGEIF(Airline_Performance[Airline],"Emirates",Airline_Performance[Passengers_Million])</f>
        <v>41.444000000000003</v>
      </c>
      <c r="G2" s="1">
        <f>AVERAGEIF(Airline_Performance[Airline],"Emirates",Airline_Performance[Revenue_per_Passenger_USD])</f>
        <v>703.22848998589268</v>
      </c>
    </row>
    <row r="3" spans="1:7" x14ac:dyDescent="0.3">
      <c r="A3" t="s">
        <v>8</v>
      </c>
      <c r="B3" s="1">
        <f>AVERAGEIF(Airline_Performance[Airline],"IndiGo",Airline_Performance[Revenue_USD_Million])</f>
        <v>5318.0378658571426</v>
      </c>
      <c r="C3" s="1">
        <f>AVERAGEIF(Airline_Performance[Airline],"IndiGo",Airline_Performance[Profit_USD_Million])</f>
        <v>53.018932857142886</v>
      </c>
      <c r="D3" s="2">
        <f>AVERAGEIF(Airline_Performance[Airline],"IndiGo",Airline_Performance[Load_Factor_Percent])</f>
        <v>81.285714285714292</v>
      </c>
      <c r="E3" s="1">
        <f>AVERAGEIF(Airline_Performance[Airline],"IndiGo",Airline_Performance[Revenue_per_Aircraft_USD_Million])</f>
        <v>16.634972667877342</v>
      </c>
      <c r="F3" s="1">
        <f>AVERAGEIF(Airline_Performance[Airline],"IndiGo",Airline_Performance[Passengers_Million])</f>
        <v>74.071428571428569</v>
      </c>
      <c r="G3" s="1">
        <f>AVERAGEIF(Airline_Performance[Airline],"IndiGo",Airline_Performance[Revenue_per_Passenger_USD])</f>
        <v>67.88435416225208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Airline_Data</vt:lpstr>
      <vt:lpstr>Data_Definitions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Vaibhavi Thote</dc:creator>
  <cp:lastModifiedBy>Vaibhavi Thote</cp:lastModifiedBy>
  <dcterms:created xsi:type="dcterms:W3CDTF">2026-03-05T07:17:13Z</dcterms:created>
  <dcterms:modified xsi:type="dcterms:W3CDTF">2026-03-05T11:30:22Z</dcterms:modified>
</cp:coreProperties>
</file>